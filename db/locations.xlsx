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7724a75fd40b46d/Documents/c-otter/db/"/>
    </mc:Choice>
  </mc:AlternateContent>
  <xr:revisionPtr revIDLastSave="69" documentId="11_F25DC773A252ABDACC104843711952CE5BDE58E8" xr6:coauthVersionLast="47" xr6:coauthVersionMax="47" xr10:uidLastSave="{BF312FC9-C4E1-471A-A992-AFEF6197FE47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 s="1"/>
  <c r="G3" i="1"/>
  <c r="G2" i="1"/>
  <c r="F4" i="1"/>
  <c r="F5" i="1"/>
  <c r="F6" i="1"/>
  <c r="F7" i="1"/>
  <c r="F8" i="1"/>
  <c r="F9" i="1"/>
  <c r="F10" i="1"/>
  <c r="F11" i="1"/>
  <c r="F3" i="1"/>
  <c r="E4" i="1"/>
  <c r="E5" i="1"/>
  <c r="E6" i="1"/>
  <c r="E7" i="1"/>
  <c r="E8" i="1"/>
  <c r="E9" i="1"/>
  <c r="E10" i="1"/>
  <c r="E11" i="1"/>
  <c r="E3" i="1"/>
</calcChain>
</file>

<file path=xl/sharedStrings.xml><?xml version="1.0" encoding="utf-8"?>
<sst xmlns="http://schemas.openxmlformats.org/spreadsheetml/2006/main" count="48" uniqueCount="47">
  <si>
    <t>name</t>
  </si>
  <si>
    <t>address</t>
  </si>
  <si>
    <t>phone_number</t>
  </si>
  <si>
    <t>theme</t>
  </si>
  <si>
    <t>embedding</t>
  </si>
  <si>
    <t>updated_at</t>
  </si>
  <si>
    <t>id</t>
  </si>
  <si>
    <t>Petersburg Healthcare Center</t>
  </si>
  <si>
    <t>Encompass Health Rehabilitation Hospital of Petersburg</t>
  </si>
  <si>
    <t>Bon Secours-Southside Medical Center</t>
  </si>
  <si>
    <t>Hiram Davis Medical Center</t>
  </si>
  <si>
    <t>Poplar Springs Hospital</t>
  </si>
  <si>
    <t>Battlefield Park Healthcare Center</t>
  </si>
  <si>
    <t>Central Virginia Health Services (CVHS) Petersburg</t>
  </si>
  <si>
    <t>Southside Regional Home Health</t>
  </si>
  <si>
    <t xml:space="preserve">Virginia South Psychiatric </t>
  </si>
  <si>
    <t>Central State Hospital</t>
  </si>
  <si>
    <t>287 E South Blvd, Petersburg, VA 23805</t>
  </si>
  <si>
    <t>95 Medical Park Blvd, Petersburg, VA 23805</t>
  </si>
  <si>
    <t>(804) 733-1190</t>
  </si>
  <si>
    <t>(804) 504-8100</t>
  </si>
  <si>
    <t>200 Medical Park Blvd, Petersburg, VA 23805</t>
  </si>
  <si>
    <t>(804) 765-5000</t>
  </si>
  <si>
    <t>110 7th Ave, Petersburg, VA 23803</t>
  </si>
  <si>
    <t>(804) 524-7420</t>
  </si>
  <si>
    <t>350 Poplar Dr, Petersburg, VA 23805</t>
  </si>
  <si>
    <t>(866) 546-2229</t>
  </si>
  <si>
    <t xml:space="preserve"> 250 Flank Rd, Petersburg, VA 23805</t>
  </si>
  <si>
    <t>(804) 861-2223</t>
  </si>
  <si>
    <t xml:space="preserve"> 321C Poplar Dr, Petersburg, VA 23805</t>
  </si>
  <si>
    <t>(804) 733-5591</t>
  </si>
  <si>
    <t>43 Rives Rd Suite 2, Petersburg, VA 23805</t>
  </si>
  <si>
    <t>(804) 862-8345</t>
  </si>
  <si>
    <t>269 Medical Park Blvd, Petersburg, VA 23805</t>
  </si>
  <si>
    <t>(804) 861-0700</t>
  </si>
  <si>
    <t xml:space="preserve"> 26317 W Washington St, Petersburg, VA 23803</t>
  </si>
  <si>
    <t xml:space="preserve"> (804) 524-7000</t>
  </si>
  <si>
    <t>Nursing Home</t>
  </si>
  <si>
    <t xml:space="preserve">Rehabilitation Center </t>
  </si>
  <si>
    <t xml:space="preserve">Hospital </t>
  </si>
  <si>
    <t xml:space="preserve">Mental Health Services </t>
  </si>
  <si>
    <t xml:space="preserve">Mental Health Clinic </t>
  </si>
  <si>
    <t xml:space="preserve">Medical Clinic </t>
  </si>
  <si>
    <t>Home health care service</t>
  </si>
  <si>
    <t xml:space="preserve">Mental health clinic </t>
  </si>
  <si>
    <t xml:space="preserve">Psychiatric Hospital 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</si>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</sst>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3" sqref="C3"/>
    </sheetView>
  </sheetViews>
  <sheetFormatPr defaultRowHeight="14.5"/>
  <cols>
    <col min="1" max="1" width="27.81640625" customWidth="1"/>
    <col min="2" max="2" width="32.1796875" bestFit="1" customWidth="1"/>
    <col min="3" max="3" width="19.6328125" customWidth="1"/>
    <col min="4" max="4" width="10.90625" customWidth="1"/>
    <col min="5" max="5" width="15.54296875" customWidth="1"/>
    <col min="6" max="6" width="15.1796875" customWidth="1"/>
    <col min="7" max="7" width="4.36328125" customWidth="1"/>
  </cols>
  <sheetData>
    <row r="1" spans="1:7" ht="36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56.5">
      <c r="A2" s="1" t="s">
        <v>7</v>
      </c>
      <c r="B2" s="2" t="s">
        <v>17</v>
      </c>
      <c r="C2" s="2" t="s">
        <v>19</v>
      </c>
      <c r="D2" s="2" t="s">
        <v>37</v>
      </c>
      <c r="E2" s="2" t="s">
        <v>46</v>
      </c>
      <c r="F2" s="4">
        <v>45814</v>
      </c>
      <c r="G2">
        <f>1</f>
        <v>1</v>
      </c>
    </row>
    <row r="3" spans="1:7" ht="56.5">
      <c r="A3" s="2" t="s">
        <v>8</v>
      </c>
      <c r="B3" s="2" t="s">
        <v>18</v>
      </c>
      <c r="C3" s="2" t="s">
        <v>20</v>
      </c>
      <c r="D3" s="2" t="s">
        <v>38</v>
      </c>
      <c r="E3" t="str">
        <f>$E$2</f>
        <v>TBD</v>
      </c>
      <c r="F3" s="4">
        <f>$F$2</f>
        <v>45814</v>
      </c>
      <c r="G3">
        <f>G2 + 1</f>
        <v>2</v>
      </c>
    </row>
    <row r="4" spans="1:7" ht="56.5">
      <c r="A4" s="2" t="s">
        <v>9</v>
      </c>
      <c r="B4" s="2" t="s">
        <v>21</v>
      </c>
      <c r="C4" s="1" t="s">
        <v>22</v>
      </c>
      <c r="D4" s="2" t="s">
        <v>39</v>
      </c>
      <c r="E4" t="str">
        <f t="shared" ref="E4:E11" si="0">$E$2</f>
        <v>TBD</v>
      </c>
      <c r="F4" s="4">
        <f t="shared" ref="F4:F11" si="1">$F$2</f>
        <v>45814</v>
      </c>
      <c r="G4">
        <f t="shared" ref="G4:G11" si="2">G3 + 1</f>
        <v>3</v>
      </c>
    </row>
    <row r="5" spans="1:7" ht="42.5">
      <c r="A5" s="2" t="s">
        <v>10</v>
      </c>
      <c r="B5" s="3" t="s">
        <v>23</v>
      </c>
      <c r="C5" s="2" t="s">
        <v>24</v>
      </c>
      <c r="D5" s="2" t="s">
        <v>40</v>
      </c>
      <c r="E5" t="str">
        <f t="shared" si="0"/>
        <v>TBD</v>
      </c>
      <c r="F5" s="4">
        <f t="shared" si="1"/>
        <v>45814</v>
      </c>
      <c r="G5">
        <f t="shared" si="2"/>
        <v>4</v>
      </c>
    </row>
    <row r="6" spans="1:7" ht="56.5">
      <c r="A6" s="1" t="s">
        <v>11</v>
      </c>
      <c r="B6" s="2" t="s">
        <v>25</v>
      </c>
      <c r="C6" s="2" t="s">
        <v>26</v>
      </c>
      <c r="D6" s="2" t="s">
        <v>41</v>
      </c>
      <c r="E6" t="str">
        <f t="shared" si="0"/>
        <v>TBD</v>
      </c>
      <c r="F6" s="4">
        <f t="shared" si="1"/>
        <v>45814</v>
      </c>
      <c r="G6">
        <f t="shared" si="2"/>
        <v>5</v>
      </c>
    </row>
    <row r="7" spans="1:7" ht="56.5">
      <c r="A7" s="1" t="s">
        <v>12</v>
      </c>
      <c r="B7" s="2" t="s">
        <v>27</v>
      </c>
      <c r="C7" s="2" t="s">
        <v>28</v>
      </c>
      <c r="D7" s="2" t="s">
        <v>37</v>
      </c>
      <c r="E7" t="str">
        <f t="shared" si="0"/>
        <v>TBD</v>
      </c>
      <c r="F7" s="4">
        <f t="shared" si="1"/>
        <v>45814</v>
      </c>
      <c r="G7">
        <f t="shared" si="2"/>
        <v>6</v>
      </c>
    </row>
    <row r="8" spans="1:7" ht="56.5">
      <c r="A8" s="2" t="s">
        <v>13</v>
      </c>
      <c r="B8" s="2" t="s">
        <v>29</v>
      </c>
      <c r="C8" s="2" t="s">
        <v>30</v>
      </c>
      <c r="D8" s="2" t="s">
        <v>42</v>
      </c>
      <c r="E8" t="str">
        <f t="shared" si="0"/>
        <v>TBD</v>
      </c>
      <c r="F8" s="4">
        <f t="shared" si="1"/>
        <v>45814</v>
      </c>
      <c r="G8">
        <f t="shared" si="2"/>
        <v>7</v>
      </c>
    </row>
    <row r="9" spans="1:7" ht="56.5">
      <c r="A9" s="1" t="s">
        <v>14</v>
      </c>
      <c r="B9" s="2" t="s">
        <v>31</v>
      </c>
      <c r="C9" s="2" t="s">
        <v>32</v>
      </c>
      <c r="D9" s="2" t="s">
        <v>43</v>
      </c>
      <c r="E9" t="str">
        <f t="shared" si="0"/>
        <v>TBD</v>
      </c>
      <c r="F9" s="4">
        <f t="shared" si="1"/>
        <v>45814</v>
      </c>
      <c r="G9">
        <f t="shared" si="2"/>
        <v>8</v>
      </c>
    </row>
    <row r="10" spans="1:7" ht="56.5">
      <c r="A10" s="2" t="s">
        <v>15</v>
      </c>
      <c r="B10" s="2" t="s">
        <v>33</v>
      </c>
      <c r="C10" s="2" t="s">
        <v>34</v>
      </c>
      <c r="D10" s="2" t="s">
        <v>44</v>
      </c>
      <c r="E10" t="str">
        <f t="shared" si="0"/>
        <v>TBD</v>
      </c>
      <c r="F10" s="4">
        <f t="shared" si="1"/>
        <v>45814</v>
      </c>
      <c r="G10">
        <f t="shared" si="2"/>
        <v>9</v>
      </c>
    </row>
    <row r="11" spans="1:7" ht="70.5">
      <c r="A11" s="1" t="s">
        <v>16</v>
      </c>
      <c r="B11" s="2" t="s">
        <v>35</v>
      </c>
      <c r="C11" s="2" t="s">
        <v>36</v>
      </c>
      <c r="D11" s="2" t="s">
        <v>45</v>
      </c>
      <c r="E11" t="str">
        <f t="shared" si="0"/>
        <v>TBD</v>
      </c>
      <c r="F11" s="4">
        <f t="shared" si="1"/>
        <v>45814</v>
      </c>
      <c r="G11">
        <f t="shared" si="2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Watts</dc:creator>
  <cp:lastModifiedBy>Isaac Watts</cp:lastModifiedBy>
  <dcterms:created xsi:type="dcterms:W3CDTF">2015-06-05T18:17:20Z</dcterms:created>
  <dcterms:modified xsi:type="dcterms:W3CDTF">2025-06-06T06:37:15Z</dcterms:modified>
</cp:coreProperties>
</file>